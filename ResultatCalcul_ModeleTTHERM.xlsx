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i\Downloads\"/>
    </mc:Choice>
  </mc:AlternateContent>
  <xr:revisionPtr revIDLastSave="0" documentId="13_ncr:1_{85AB7339-F1AB-44A3-BE74-549DEFEA959B}" xr6:coauthVersionLast="47" xr6:coauthVersionMax="47" xr10:uidLastSave="{00000000-0000-0000-0000-000000000000}"/>
  <bookViews>
    <workbookView xWindow="-120" yWindow="-120" windowWidth="29040" windowHeight="15840" xr2:uid="{70D1AA30-2038-49D0-B71A-4B60C7B8D8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M19" i="1"/>
  <c r="N21" i="1"/>
  <c r="M23" i="1"/>
  <c r="M24" i="1"/>
  <c r="M33" i="1"/>
  <c r="L35" i="1"/>
  <c r="G29" i="1"/>
  <c r="L31" i="1"/>
  <c r="M31" i="1"/>
  <c r="K28" i="1"/>
  <c r="M29" i="1"/>
  <c r="K29" i="1"/>
  <c r="I29" i="1"/>
  <c r="H30" i="1"/>
  <c r="E29" i="1"/>
  <c r="E16" i="1"/>
  <c r="D16" i="1"/>
  <c r="E17" i="1"/>
  <c r="E14" i="1"/>
  <c r="D14" i="1"/>
  <c r="H9" i="1"/>
  <c r="E15" i="1"/>
  <c r="D15" i="1"/>
  <c r="H11" i="1"/>
  <c r="E13" i="1"/>
  <c r="D13" i="1"/>
  <c r="E12" i="1"/>
  <c r="D12" i="1"/>
  <c r="E11" i="1"/>
  <c r="D11" i="1"/>
  <c r="E10" i="1"/>
  <c r="D10" i="1"/>
  <c r="E9" i="1"/>
  <c r="D9" i="1"/>
  <c r="D8" i="1"/>
  <c r="E8" i="1" s="1"/>
  <c r="H8" i="1"/>
  <c r="D7" i="1"/>
  <c r="E7" i="1" s="1"/>
  <c r="E6" i="1"/>
</calcChain>
</file>

<file path=xl/sharedStrings.xml><?xml version="1.0" encoding="utf-8"?>
<sst xmlns="http://schemas.openxmlformats.org/spreadsheetml/2006/main" count="45" uniqueCount="45">
  <si>
    <t>Résistance</t>
  </si>
  <si>
    <t>Nom Resitance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</si>
  <si>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</si>
  <si>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</si>
  <si>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</si>
  <si>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</si>
  <si>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</si>
  <si>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</si>
  <si>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</si>
  <si>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</si>
  <si>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</si>
  <si>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Capacitance</t>
  </si>
  <si>
    <t>Sol side</t>
  </si>
  <si>
    <t>Isolant</t>
  </si>
  <si>
    <t>Air</t>
  </si>
  <si>
    <t>Béton side</t>
  </si>
  <si>
    <t>Béton bottom</t>
  </si>
  <si>
    <t>Plaque</t>
  </si>
  <si>
    <t>Exterieur</t>
  </si>
  <si>
    <t>Valeur Obtenu [k/W]</t>
  </si>
  <si>
    <t>Capacitance [J/K]</t>
  </si>
  <si>
    <t>R3 - FAN ON</t>
  </si>
  <si>
    <t>R4 - FAN ON</t>
  </si>
  <si>
    <t>Sol bottom</t>
  </si>
  <si>
    <t xml:space="preserve">inf. Temperaute  Set par filtre passe bas 1m </t>
  </si>
  <si>
    <t xml:space="preserve">inf. Temperautre Set par filtre passe bas 3m </t>
  </si>
  <si>
    <t>R5 - FAN ON</t>
  </si>
  <si>
    <t>inf Temperature set par data</t>
  </si>
  <si>
    <t>T SOL side</t>
  </si>
  <si>
    <t>Résitance</t>
  </si>
  <si>
    <t>Capacité</t>
  </si>
  <si>
    <t>T isolant</t>
  </si>
  <si>
    <t>T béton side</t>
  </si>
  <si>
    <t>Node</t>
  </si>
  <si>
    <t>T thermocouple</t>
  </si>
  <si>
    <t>T air</t>
  </si>
  <si>
    <t>T beton sol</t>
  </si>
  <si>
    <t>T SOL bottom</t>
  </si>
  <si>
    <t>inf (T set par filtre 3m)</t>
  </si>
  <si>
    <t>inf (T set par filtre 1m)</t>
  </si>
  <si>
    <t>Résistance Fan ON</t>
  </si>
  <si>
    <t>T plaque</t>
  </si>
  <si>
    <t>T externe</t>
  </si>
  <si>
    <t>inf (T set par data)</t>
  </si>
  <si>
    <t>Circuit GLOBALE calculé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</si>
</sst>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E+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2" borderId="0" xfId="0" applyFill="1"/>
    <xf numFmtId="167" fontId="0" fillId="0" borderId="0" xfId="0" applyNumberFormat="1"/>
    <xf numFmtId="167" fontId="0" fillId="2" borderId="0" xfId="0" applyNumberFormat="1" applyFill="1"/>
    <xf numFmtId="167" fontId="0" fillId="0" borderId="0" xfId="0" applyNumberFormat="1" applyFill="1"/>
    <xf numFmtId="167" fontId="0" fillId="3" borderId="0" xfId="0" applyNumberFormat="1" applyFill="1"/>
    <xf numFmtId="0" fontId="0" fillId="3" borderId="0" xfId="0" applyFill="1"/>
    <xf numFmtId="0" fontId="0" fillId="4" borderId="0" xfId="0" applyFill="1"/>
    <xf numFmtId="167" fontId="0" fillId="5" borderId="0" xfId="0" applyNumberFormat="1" applyFill="1"/>
    <xf numFmtId="0" fontId="0" fillId="5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customXml" Target="../ink/ink7.xml"/><Relationship Id="rId18" Type="http://schemas.openxmlformats.org/officeDocument/2006/relationships/image" Target="../media/image9.png"/><Relationship Id="rId26" Type="http://schemas.openxmlformats.org/officeDocument/2006/relationships/image" Target="../media/image13.png"/><Relationship Id="rId3" Type="http://schemas.openxmlformats.org/officeDocument/2006/relationships/customXml" Target="../ink/ink2.xml"/><Relationship Id="rId21" Type="http://schemas.openxmlformats.org/officeDocument/2006/relationships/customXml" Target="../ink/ink11.xml"/><Relationship Id="rId7" Type="http://schemas.openxmlformats.org/officeDocument/2006/relationships/customXml" Target="../ink/ink4.xml"/><Relationship Id="rId12" Type="http://schemas.openxmlformats.org/officeDocument/2006/relationships/image" Target="../media/image6.png"/><Relationship Id="rId17" Type="http://schemas.openxmlformats.org/officeDocument/2006/relationships/customXml" Target="../ink/ink9.xml"/><Relationship Id="rId25" Type="http://schemas.openxmlformats.org/officeDocument/2006/relationships/customXml" Target="../ink/ink13.xml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20" Type="http://schemas.openxmlformats.org/officeDocument/2006/relationships/image" Target="../media/image10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24" Type="http://schemas.openxmlformats.org/officeDocument/2006/relationships/image" Target="../media/image12.png"/><Relationship Id="rId5" Type="http://schemas.openxmlformats.org/officeDocument/2006/relationships/customXml" Target="../ink/ink3.xml"/><Relationship Id="rId15" Type="http://schemas.openxmlformats.org/officeDocument/2006/relationships/customXml" Target="../ink/ink8.xml"/><Relationship Id="rId23" Type="http://schemas.openxmlformats.org/officeDocument/2006/relationships/customXml" Target="../ink/ink12.xml"/><Relationship Id="rId28" Type="http://schemas.openxmlformats.org/officeDocument/2006/relationships/image" Target="../media/image14.png"/><Relationship Id="rId10" Type="http://schemas.openxmlformats.org/officeDocument/2006/relationships/image" Target="../media/image5.png"/><Relationship Id="rId19" Type="http://schemas.openxmlformats.org/officeDocument/2006/relationships/customXml" Target="../ink/ink10.xml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image" Target="../media/image7.png"/><Relationship Id="rId22" Type="http://schemas.openxmlformats.org/officeDocument/2006/relationships/image" Target="../media/image11.png"/><Relationship Id="rId27" Type="http://schemas.openxmlformats.org/officeDocument/2006/relationships/customXml" Target="../ink/ink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1042635</xdr:colOff>
      <xdr:row>28</xdr:row>
      <xdr:rowOff>96180</xdr:rowOff>
    </xdr:from>
    <xdr:to>
      <xdr:col>4</xdr:col>
      <xdr:colOff>61860</xdr:colOff>
      <xdr:row>28</xdr:row>
      <xdr:rowOff>124980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D737C18F-E246-BF19-8485-F116B1FB4A66}"/>
                </a:ext>
              </a:extLst>
            </xdr14:cNvPr>
            <xdr14:cNvContentPartPr/>
          </xdr14:nvContentPartPr>
          <xdr14:nvPr macro=""/>
          <xdr14:xfrm>
            <a:off x="3281010" y="5430180"/>
            <a:ext cx="419400" cy="2880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D737C18F-E246-BF19-8485-F116B1FB4A6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272010" y="5421180"/>
              <a:ext cx="437040" cy="46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755280</xdr:colOff>
      <xdr:row>28</xdr:row>
      <xdr:rowOff>78180</xdr:rowOff>
    </xdr:from>
    <xdr:to>
      <xdr:col>6</xdr:col>
      <xdr:colOff>152310</xdr:colOff>
      <xdr:row>28</xdr:row>
      <xdr:rowOff>87540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B6F3E5F9-4E7C-5CF4-9DD4-20C446999701}"/>
                </a:ext>
              </a:extLst>
            </xdr14:cNvPr>
            <xdr14:cNvContentPartPr/>
          </xdr14:nvContentPartPr>
          <xdr14:nvPr macro=""/>
          <xdr14:xfrm>
            <a:off x="5574930" y="5412180"/>
            <a:ext cx="330480" cy="9360"/>
          </xdr14:xfrm>
        </xdr:contentPart>
      </mc:Choice>
      <mc:Fallback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B6F3E5F9-4E7C-5CF4-9DD4-20C446999701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5566290" y="5403540"/>
              <a:ext cx="348120" cy="2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1114800</xdr:colOff>
      <xdr:row>28</xdr:row>
      <xdr:rowOff>79620</xdr:rowOff>
    </xdr:from>
    <xdr:to>
      <xdr:col>7</xdr:col>
      <xdr:colOff>1327200</xdr:colOff>
      <xdr:row>28</xdr:row>
      <xdr:rowOff>89700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54D0FADD-841A-9C52-8EF8-65A9FA49A7F0}"/>
                </a:ext>
              </a:extLst>
            </xdr14:cNvPr>
            <xdr14:cNvContentPartPr/>
          </xdr14:nvContentPartPr>
          <xdr14:nvPr macro=""/>
          <xdr14:xfrm>
            <a:off x="7915650" y="5413620"/>
            <a:ext cx="212400" cy="10080"/>
          </xdr14:xfrm>
        </xdr:contentPart>
      </mc:Choice>
      <mc:Fallback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54D0FADD-841A-9C52-8EF8-65A9FA49A7F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7907010" y="5404620"/>
              <a:ext cx="230040" cy="2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976065</xdr:colOff>
      <xdr:row>28</xdr:row>
      <xdr:rowOff>71340</xdr:rowOff>
    </xdr:from>
    <xdr:to>
      <xdr:col>10</xdr:col>
      <xdr:colOff>954</xdr:colOff>
      <xdr:row>28</xdr:row>
      <xdr:rowOff>85380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2198BF47-CF4D-A1D8-6421-72150DA715B8}"/>
                </a:ext>
              </a:extLst>
            </xdr14:cNvPr>
            <xdr14:cNvContentPartPr/>
          </xdr14:nvContentPartPr>
          <xdr14:nvPr macro=""/>
          <xdr14:xfrm>
            <a:off x="10091490" y="5405340"/>
            <a:ext cx="183600" cy="14040"/>
          </xdr14:xfrm>
        </xdr:contentPart>
      </mc:Choice>
      <mc:Fallback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2198BF47-CF4D-A1D8-6421-72150DA715B8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0082850" y="5396700"/>
              <a:ext cx="201240" cy="3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523110</xdr:colOff>
      <xdr:row>28</xdr:row>
      <xdr:rowOff>139380</xdr:rowOff>
    </xdr:from>
    <xdr:to>
      <xdr:col>11</xdr:col>
      <xdr:colOff>565950</xdr:colOff>
      <xdr:row>29</xdr:row>
      <xdr:rowOff>153360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9ED0800C-7326-2803-ADB9-0E114BEB9161}"/>
                </a:ext>
              </a:extLst>
            </xdr14:cNvPr>
            <xdr14:cNvContentPartPr/>
          </xdr14:nvContentPartPr>
          <xdr14:nvPr macro=""/>
          <xdr14:xfrm>
            <a:off x="11762610" y="5473380"/>
            <a:ext cx="42840" cy="204480"/>
          </xdr14:xfrm>
        </xdr:contentPart>
      </mc:Choice>
      <mc:Fallback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9ED0800C-7326-2803-ADB9-0E114BEB9161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1753610" y="5464740"/>
              <a:ext cx="60480" cy="222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491790</xdr:colOff>
      <xdr:row>31</xdr:row>
      <xdr:rowOff>51000</xdr:rowOff>
    </xdr:from>
    <xdr:to>
      <xdr:col>11</xdr:col>
      <xdr:colOff>518430</xdr:colOff>
      <xdr:row>31</xdr:row>
      <xdr:rowOff>183480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CDBA047D-93F5-81F5-EA48-A63B1B69D0A8}"/>
                </a:ext>
              </a:extLst>
            </xdr14:cNvPr>
            <xdr14:cNvContentPartPr/>
          </xdr14:nvContentPartPr>
          <xdr14:nvPr macro=""/>
          <xdr14:xfrm>
            <a:off x="11731290" y="5956500"/>
            <a:ext cx="26640" cy="132480"/>
          </xdr14:xfrm>
        </xdr:contentPart>
      </mc:Choice>
      <mc:Fallback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CDBA047D-93F5-81F5-EA48-A63B1B69D0A8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1722290" y="5947500"/>
              <a:ext cx="44280" cy="15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658830</xdr:colOff>
      <xdr:row>33</xdr:row>
      <xdr:rowOff>9840</xdr:rowOff>
    </xdr:from>
    <xdr:to>
      <xdr:col>11</xdr:col>
      <xdr:colOff>673950</xdr:colOff>
      <xdr:row>33</xdr:row>
      <xdr:rowOff>176520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0E71F0BA-B909-14D3-512B-C8473FC6371A}"/>
                </a:ext>
              </a:extLst>
            </xdr14:cNvPr>
            <xdr14:cNvContentPartPr/>
          </xdr14:nvContentPartPr>
          <xdr14:nvPr macro=""/>
          <xdr14:xfrm>
            <a:off x="11898330" y="6296340"/>
            <a:ext cx="15120" cy="166680"/>
          </xdr14:xfrm>
        </xdr:contentPart>
      </mc:Choice>
      <mc:Fallback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0E71F0BA-B909-14D3-512B-C8473FC6371A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1889330" y="6287340"/>
              <a:ext cx="32760" cy="184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533550</xdr:colOff>
      <xdr:row>35</xdr:row>
      <xdr:rowOff>59040</xdr:rowOff>
    </xdr:from>
    <xdr:to>
      <xdr:col>11</xdr:col>
      <xdr:colOff>552270</xdr:colOff>
      <xdr:row>35</xdr:row>
      <xdr:rowOff>170280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5C99A6EB-92DD-9575-E18C-2A9C76D2EA21}"/>
                </a:ext>
              </a:extLst>
            </xdr14:cNvPr>
            <xdr14:cNvContentPartPr/>
          </xdr14:nvContentPartPr>
          <xdr14:nvPr macro=""/>
          <xdr14:xfrm>
            <a:off x="11773050" y="6726540"/>
            <a:ext cx="18720" cy="111240"/>
          </xdr14:xfrm>
        </xdr:contentPart>
      </mc:Choice>
      <mc:Fallback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5C99A6EB-92DD-9575-E18C-2A9C76D2EA21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11764050" y="6717900"/>
              <a:ext cx="36360" cy="12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595110</xdr:colOff>
      <xdr:row>24</xdr:row>
      <xdr:rowOff>108660</xdr:rowOff>
    </xdr:from>
    <xdr:to>
      <xdr:col>12</xdr:col>
      <xdr:colOff>307500</xdr:colOff>
      <xdr:row>27</xdr:row>
      <xdr:rowOff>182640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EB3E00D5-3C5C-7A90-5DB6-909E9A98FC06}"/>
                </a:ext>
              </a:extLst>
            </xdr14:cNvPr>
            <xdr14:cNvContentPartPr/>
          </xdr14:nvContentPartPr>
          <xdr14:nvPr macro=""/>
          <xdr14:xfrm>
            <a:off x="11834610" y="4680660"/>
            <a:ext cx="874440" cy="645480"/>
          </xdr14:xfrm>
        </xdr:contentPart>
      </mc:Choice>
      <mc:Fallback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EB3E00D5-3C5C-7A90-5DB6-909E9A98FC06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11825610" y="4671660"/>
              <a:ext cx="892080" cy="663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385980</xdr:colOff>
      <xdr:row>21</xdr:row>
      <xdr:rowOff>64200</xdr:rowOff>
    </xdr:from>
    <xdr:to>
      <xdr:col>12</xdr:col>
      <xdr:colOff>404340</xdr:colOff>
      <xdr:row>22</xdr:row>
      <xdr:rowOff>58020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25F3E5A0-756F-6E56-7E01-F04AFE82D396}"/>
                </a:ext>
              </a:extLst>
            </xdr14:cNvPr>
            <xdr14:cNvContentPartPr/>
          </xdr14:nvContentPartPr>
          <xdr14:nvPr macro=""/>
          <xdr14:xfrm>
            <a:off x="12787530" y="4064700"/>
            <a:ext cx="18360" cy="184320"/>
          </xdr14:xfrm>
        </xdr:contentPart>
      </mc:Choice>
      <mc:Fallback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25F3E5A0-756F-6E56-7E01-F04AFE82D396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2778890" y="4055700"/>
              <a:ext cx="36000" cy="201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328020</xdr:colOff>
      <xdr:row>19</xdr:row>
      <xdr:rowOff>57480</xdr:rowOff>
    </xdr:from>
    <xdr:to>
      <xdr:col>12</xdr:col>
      <xdr:colOff>339900</xdr:colOff>
      <xdr:row>19</xdr:row>
      <xdr:rowOff>240360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0BED36CF-3791-2E51-2E2D-C6B430D9B2FC}"/>
                </a:ext>
              </a:extLst>
            </xdr14:cNvPr>
            <xdr14:cNvContentPartPr/>
          </xdr14:nvContentPartPr>
          <xdr14:nvPr macro=""/>
          <xdr14:xfrm>
            <a:off x="12729570" y="3676980"/>
            <a:ext cx="11880" cy="182880"/>
          </xdr14:xfrm>
        </xdr:contentPart>
      </mc:Choice>
      <mc:Fallback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0BED36CF-3791-2E51-2E2D-C6B430D9B2FC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12720930" y="3667980"/>
              <a:ext cx="29520" cy="20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938550</xdr:colOff>
      <xdr:row>16</xdr:row>
      <xdr:rowOff>105180</xdr:rowOff>
    </xdr:from>
    <xdr:to>
      <xdr:col>12</xdr:col>
      <xdr:colOff>225060</xdr:colOff>
      <xdr:row>18</xdr:row>
      <xdr:rowOff>22980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3B9BB5AA-EBDD-5E71-D37D-E909DAF009CD}"/>
                </a:ext>
              </a:extLst>
            </xdr14:cNvPr>
            <xdr14:cNvContentPartPr/>
          </xdr14:nvContentPartPr>
          <xdr14:nvPr macro=""/>
          <xdr14:xfrm>
            <a:off x="12178050" y="3153180"/>
            <a:ext cx="448560" cy="298800"/>
          </xdr14:xfrm>
        </xdr:contentPart>
      </mc:Choice>
      <mc:Fallback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3B9BB5AA-EBDD-5E71-D37D-E909DAF009CD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12169410" y="3144180"/>
              <a:ext cx="466200" cy="316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721215</xdr:colOff>
      <xdr:row>21</xdr:row>
      <xdr:rowOff>30360</xdr:rowOff>
    </xdr:from>
    <xdr:to>
      <xdr:col>11</xdr:col>
      <xdr:colOff>490350</xdr:colOff>
      <xdr:row>27</xdr:row>
      <xdr:rowOff>145200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C4F72E19-7321-FFBF-0882-626B5801B20A}"/>
                </a:ext>
              </a:extLst>
            </xdr14:cNvPr>
            <xdr14:cNvContentPartPr/>
          </xdr14:nvContentPartPr>
          <xdr14:nvPr macro=""/>
          <xdr14:xfrm>
            <a:off x="10998690" y="4030860"/>
            <a:ext cx="731160" cy="1257840"/>
          </xdr14:xfrm>
        </xdr:contentPart>
      </mc:Choice>
      <mc:Fallback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C4F72E19-7321-FFBF-0882-626B5801B20A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10989694" y="4022056"/>
              <a:ext cx="748791" cy="127581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622935</xdr:colOff>
      <xdr:row>16</xdr:row>
      <xdr:rowOff>53340</xdr:rowOff>
    </xdr:from>
    <xdr:to>
      <xdr:col>11</xdr:col>
      <xdr:colOff>265350</xdr:colOff>
      <xdr:row>19</xdr:row>
      <xdr:rowOff>202200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7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E96DDFA3-AA7A-1207-A886-D2247C0991AC}"/>
                </a:ext>
              </a:extLst>
            </xdr14:cNvPr>
            <xdr14:cNvContentPartPr/>
          </xdr14:nvContentPartPr>
          <xdr14:nvPr macro=""/>
          <xdr14:xfrm>
            <a:off x="10900410" y="3101340"/>
            <a:ext cx="604440" cy="720360"/>
          </xdr14:xfrm>
        </xdr:contentPart>
      </mc:Choice>
      <mc:Fallback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E96DDFA3-AA7A-1207-A886-D2247C0991AC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10891770" y="3092340"/>
              <a:ext cx="622080" cy="73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06:21:51.80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79 24575,'0'0'0,"0"0"0,0 0 0,0 0 0,0 0 0,0 0 0,0 0 0,0 0 0,0 0 0,0 0 0,0 0 0,20-4 0,75-14 0,1 4 0,121-1 0,-73 6 0,160-4 0,-157 9 0,-28 2-1365,-97 2-5461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06:21:58.35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26 24575,'0'0'0,"0"0"0,0 0 0,0 0 0,0 0 0,22 0 0,231-13 0,40 1 0,4 15-1365,-245-1-5461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06:21:59.85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27 24575,'60'0'-113,"98"1"-513,178-23 0,-301 16-6200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06:22:01.47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 24575,'136'10'0,"-24"0"0,94 2-1365,-151-7-5461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06:22:03.99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118 1 24575,'0'0'0,"0"0"0,0 0 0,-16 26 0,3 2 0,2 0 0,0 0 0,-11 60 0,-7 94 0,24-146 0,-5 79-1365,9-79-5461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06:22:05.47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24575,'22'34'0,"-13"-12"-2,-1 0 0,-2 1-1,0 0 1,-1 1 0,-2-1-1,0 1 1,-1 38 0,4 23-1345,-3-60-5479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06:22:06.77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29 0 24575,'13'73'0,"-17"-35"9,-13 59 0,11-76-163,1 0 1,1 1-1,1 0 0,1-1 1,1 1-1,1 0 0,1 0 1,7 40-1,-2-43-6672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06:22:08.02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52 1 24575,'-23'40'0,"18"-26"-97,-1 1-1,2 0 1,0 0-1,1 1 1,0-1-1,1 1 1,1 0-1,0 0 1,1-1-1,1 1 1,1 0-1,0-1 0,8 29 1,-2-20-6729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06:22:10.46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1792 24575,'0'0'0,"0"0"0,0 0 0,0 0 0,0 0 0,0 0 0,19-32 0,27-32 0,4 2 0,1 3 0,102-90 0,-55 54 0,19-14 0,258-185 0,166-44 0,-227 139 0,-163 99 0,180-89 0,-316 182-107,30-15-522,48-31 0,-64 33-6197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06:22:11.94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50 511 24575,'-19'-148'0,"-8"-103"0,24 153-1365,3 84-5461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06:22:13.38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1 507 24575,'4'-37'0,"5"-24"0,0 9 0,-3 0 0,-2-1 0,-4-55 0,-8 7-1365,5 58-5461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06:22:14.47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1246 829 24575,'0'0'0,"0"0"0,0 0 0,0 0 0,0 0 0,-23-3 0,11 0 0,0-1 0,1 0 0,0-1 0,0 0 0,0-1 0,1 0 0,-19-14 0,-65-65 0,31 26 0,-34-15 0,-186-109 0,-29-20 0,290 186-111,-20-15-307,-1 2 0,-77-42 0,81 54-6408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06:22:16.77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2023 3429 24575,'6'-39'0,"-4"17"0,-1 1 0,-1-1 0,-1 0 0,-1 0 0,-1 1 0,-1-1 0,-9-28 0,-61-143 0,59 157 0,-37-71 0,-131-200 0,4 13 0,100 144 0,-8 3 0,-152-197 0,85 161 0,-153-207 0,-54-103 0,311 433 60,-80-128 0,114 160-246,2 0 1,0-1-1,2 0 0,2-1 1,1 0-1,1-1 1,-7-50-1,14 72-6640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7T06:22:23.59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2000 24575,'3'-3'0,"1"1"0,-1-1 0,1 0 0,-1 0 0,0-1 0,0 1 0,4-5 0,0-1 0,48-52 0,-3-2 0,52-83 0,59-71 0,13 30 0,-98 108 0,-3-3 0,70-101 0,-73 76 0,4 2 0,138-145 0,-152 189 0,0 3 0,-3-2 0,92-125 0,-132 158-682,40-45-1,-40 53-6143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6404B-E21E-443B-9F15-A9451B324702}">
  <dimension ref="C5:N37"/>
  <sheetViews>
    <sheetView tabSelected="1" topLeftCell="B4" zoomScale="97" workbookViewId="0">
      <selection activeCell="J20" sqref="J20"/>
    </sheetView>
  </sheetViews>
  <sheetFormatPr defaultRowHeight="15" x14ac:dyDescent="0.25"/>
  <cols>
    <col min="3" max="3" width="15.28515625" customWidth="1"/>
    <col min="4" max="4" width="21" customWidth="1"/>
    <col min="5" max="5" width="17.7109375" customWidth="1"/>
    <col min="6" max="6" width="14" customWidth="1"/>
    <col min="7" max="7" width="15.7109375" customWidth="1"/>
    <col min="8" max="8" width="20.5703125" customWidth="1"/>
    <col min="9" max="9" width="14.140625" customWidth="1"/>
    <col min="10" max="10" width="17.42578125" customWidth="1"/>
    <col min="11" max="11" width="14.42578125" customWidth="1"/>
    <col min="12" max="12" width="17.42578125" customWidth="1"/>
    <col min="13" max="13" width="21.28515625" customWidth="1"/>
  </cols>
  <sheetData>
    <row r="5" spans="3:13" x14ac:dyDescent="0.25">
      <c r="C5" s="1" t="s">
        <v>1</v>
      </c>
      <c r="D5" s="1" t="s">
        <v>19</v>
      </c>
      <c r="E5" s="1" t="s">
        <v>0</v>
      </c>
      <c r="F5" s="1"/>
      <c r="G5" s="1" t="s">
        <v>11</v>
      </c>
      <c r="H5" s="1" t="s">
        <v>20</v>
      </c>
    </row>
    <row r="6" spans="3:13" x14ac:dyDescent="0.25">
      <c r="C6" t="s">
        <v>2</v>
      </c>
      <c r="D6" s="3">
        <v>0.155</v>
      </c>
      <c r="E6" s="3">
        <f>D6/2</f>
        <v>7.7499999999999999E-2</v>
      </c>
      <c r="G6" t="s">
        <v>12</v>
      </c>
      <c r="H6" t="s">
        <v>24</v>
      </c>
    </row>
    <row r="7" spans="3:13" x14ac:dyDescent="0.25">
      <c r="C7" t="s">
        <v>3</v>
      </c>
      <c r="D7" s="3">
        <f>1.705*10^(-3)</f>
        <v>1.7050000000000001E-3</v>
      </c>
      <c r="E7" s="3">
        <f>D7/2</f>
        <v>8.5250000000000007E-4</v>
      </c>
      <c r="G7" t="s">
        <v>13</v>
      </c>
      <c r="H7">
        <v>0</v>
      </c>
    </row>
    <row r="8" spans="3:13" x14ac:dyDescent="0.25">
      <c r="C8" t="s">
        <v>4</v>
      </c>
      <c r="D8" s="3">
        <f>2.426*10^(-3)</f>
        <v>2.4260000000000002E-3</v>
      </c>
      <c r="E8" s="3">
        <f>D8</f>
        <v>2.4260000000000002E-3</v>
      </c>
      <c r="G8" t="s">
        <v>15</v>
      </c>
      <c r="H8">
        <f>1.109*10^8</f>
        <v>110900000</v>
      </c>
    </row>
    <row r="9" spans="3:13" x14ac:dyDescent="0.25">
      <c r="C9" s="2" t="s">
        <v>21</v>
      </c>
      <c r="D9" s="4">
        <f>7.885*10^(-4)</f>
        <v>7.8850000000000003E-4</v>
      </c>
      <c r="E9" s="4">
        <f>D9</f>
        <v>7.8850000000000003E-4</v>
      </c>
      <c r="G9" t="s">
        <v>16</v>
      </c>
      <c r="H9">
        <f>1.1379*10^8</f>
        <v>113789999.99999999</v>
      </c>
    </row>
    <row r="10" spans="3:13" x14ac:dyDescent="0.25">
      <c r="C10" t="s">
        <v>5</v>
      </c>
      <c r="D10" s="3">
        <f>2.1568*10^(-3)</f>
        <v>2.1567999999999999E-3</v>
      </c>
      <c r="E10" s="3">
        <f>D10</f>
        <v>2.1567999999999999E-3</v>
      </c>
      <c r="G10" t="s">
        <v>14</v>
      </c>
      <c r="H10">
        <v>200000</v>
      </c>
    </row>
    <row r="11" spans="3:13" x14ac:dyDescent="0.25">
      <c r="C11" s="2" t="s">
        <v>22</v>
      </c>
      <c r="D11" s="4">
        <f>1.078*10^(-3)</f>
        <v>1.0780000000000002E-3</v>
      </c>
      <c r="E11" s="4">
        <f>D11</f>
        <v>1.0780000000000002E-3</v>
      </c>
      <c r="G11" t="s">
        <v>17</v>
      </c>
      <c r="H11">
        <f>6.3*10^6</f>
        <v>6300000</v>
      </c>
    </row>
    <row r="12" spans="3:13" x14ac:dyDescent="0.25">
      <c r="C12" t="s">
        <v>6</v>
      </c>
      <c r="D12" s="3">
        <f>1.54*10^(-2)</f>
        <v>1.54E-2</v>
      </c>
      <c r="E12" s="3">
        <f>D12</f>
        <v>1.54E-2</v>
      </c>
      <c r="G12" t="s">
        <v>18</v>
      </c>
      <c r="H12" t="s">
        <v>27</v>
      </c>
    </row>
    <row r="13" spans="3:13" x14ac:dyDescent="0.25">
      <c r="C13" s="2" t="s">
        <v>26</v>
      </c>
      <c r="D13" s="4">
        <f>1.078*10^(-3)</f>
        <v>1.0780000000000002E-3</v>
      </c>
      <c r="E13" s="4">
        <f>D13</f>
        <v>1.0780000000000002E-3</v>
      </c>
      <c r="G13" t="s">
        <v>23</v>
      </c>
      <c r="H13" t="s">
        <v>25</v>
      </c>
    </row>
    <row r="14" spans="3:13" x14ac:dyDescent="0.25">
      <c r="C14" t="s">
        <v>7</v>
      </c>
      <c r="D14" s="3">
        <f>1.4367*10^(-3)</f>
        <v>1.4367000000000002E-3</v>
      </c>
      <c r="E14" s="3">
        <f>D14/2</f>
        <v>7.1835000000000009E-4</v>
      </c>
    </row>
    <row r="15" spans="3:13" x14ac:dyDescent="0.25">
      <c r="C15" t="s">
        <v>8</v>
      </c>
      <c r="D15" s="3">
        <f>2.071*10^(-6)</f>
        <v>2.0710000000000002E-6</v>
      </c>
      <c r="E15" s="5">
        <f>D15/2</f>
        <v>1.0355000000000001E-6</v>
      </c>
    </row>
    <row r="16" spans="3:13" x14ac:dyDescent="0.25">
      <c r="C16" t="s">
        <v>9</v>
      </c>
      <c r="D16" s="3">
        <f>1.336*10^(-3)</f>
        <v>1.3360000000000002E-3</v>
      </c>
      <c r="E16" s="3">
        <f>D16</f>
        <v>1.3360000000000002E-3</v>
      </c>
      <c r="L16" t="s">
        <v>42</v>
      </c>
      <c r="M16" s="8" t="s">
        <v>43</v>
      </c>
    </row>
    <row r="17" spans="3:14" x14ac:dyDescent="0.25">
      <c r="C17" t="s">
        <v>10</v>
      </c>
      <c r="D17" s="3">
        <v>2.5950000000000002</v>
      </c>
      <c r="E17" s="3">
        <f>D17</f>
        <v>2.5950000000000002</v>
      </c>
    </row>
    <row r="18" spans="3:14" x14ac:dyDescent="0.25">
      <c r="D18" s="3"/>
      <c r="E18" s="3"/>
    </row>
    <row r="19" spans="3:14" x14ac:dyDescent="0.25">
      <c r="M19" s="6">
        <f>E15+E16</f>
        <v>1.3370355000000003E-3</v>
      </c>
    </row>
    <row r="20" spans="3:14" ht="26.25" x14ac:dyDescent="0.4">
      <c r="F20" s="11" t="s">
        <v>44</v>
      </c>
    </row>
    <row r="21" spans="3:14" x14ac:dyDescent="0.25">
      <c r="K21" s="6">
        <f>E17</f>
        <v>2.5950000000000002</v>
      </c>
      <c r="M21" t="s">
        <v>41</v>
      </c>
      <c r="N21" s="8">
        <f>H11</f>
        <v>6300000</v>
      </c>
    </row>
    <row r="22" spans="3:14" x14ac:dyDescent="0.25">
      <c r="D22" t="s">
        <v>33</v>
      </c>
    </row>
    <row r="23" spans="3:14" x14ac:dyDescent="0.25">
      <c r="D23" s="7" t="s">
        <v>29</v>
      </c>
      <c r="E23" s="10" t="s">
        <v>40</v>
      </c>
      <c r="M23" s="9">
        <f>E11+E15</f>
        <v>1.0790355000000003E-3</v>
      </c>
    </row>
    <row r="24" spans="3:14" x14ac:dyDescent="0.25">
      <c r="D24" s="8" t="s">
        <v>30</v>
      </c>
      <c r="M24" s="6">
        <f>E10+E15</f>
        <v>2.1578355E-3</v>
      </c>
    </row>
    <row r="28" spans="3:14" x14ac:dyDescent="0.25">
      <c r="K28" s="9">
        <f>E9</f>
        <v>7.8850000000000003E-4</v>
      </c>
    </row>
    <row r="29" spans="3:14" x14ac:dyDescent="0.25">
      <c r="D29" t="s">
        <v>28</v>
      </c>
      <c r="E29" s="6">
        <f>E6</f>
        <v>7.7499999999999999E-2</v>
      </c>
      <c r="F29" t="s">
        <v>31</v>
      </c>
      <c r="G29" s="6">
        <f>E6+E7</f>
        <v>7.8352500000000005E-2</v>
      </c>
      <c r="H29" t="s">
        <v>32</v>
      </c>
      <c r="I29" s="6">
        <f>E7</f>
        <v>8.5250000000000007E-4</v>
      </c>
      <c r="J29" t="s">
        <v>34</v>
      </c>
      <c r="K29" s="6">
        <f>E8</f>
        <v>2.4260000000000002E-3</v>
      </c>
      <c r="L29" t="s">
        <v>35</v>
      </c>
      <c r="M29" s="8">
        <f>H10</f>
        <v>200000</v>
      </c>
    </row>
    <row r="30" spans="3:14" x14ac:dyDescent="0.25">
      <c r="D30" s="8" t="s">
        <v>39</v>
      </c>
      <c r="H30" s="8">
        <f>H8</f>
        <v>110900000</v>
      </c>
      <c r="J30" s="8">
        <v>0</v>
      </c>
    </row>
    <row r="31" spans="3:14" x14ac:dyDescent="0.25">
      <c r="L31" s="6">
        <f>E12+E14</f>
        <v>1.611835E-2</v>
      </c>
      <c r="M31" s="9">
        <f>D13+E14</f>
        <v>1.7963500000000004E-3</v>
      </c>
    </row>
    <row r="33" spans="12:13" x14ac:dyDescent="0.25">
      <c r="L33" t="s">
        <v>36</v>
      </c>
      <c r="M33" s="8">
        <f>H9</f>
        <v>113789999.99999999</v>
      </c>
    </row>
    <row r="35" spans="12:13" x14ac:dyDescent="0.25">
      <c r="L35" s="6">
        <f>E14</f>
        <v>7.1835000000000009E-4</v>
      </c>
    </row>
    <row r="37" spans="12:13" x14ac:dyDescent="0.25">
      <c r="L37" t="s">
        <v>37</v>
      </c>
      <c r="M37" s="8" t="s">
        <v>38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Boissonneault</dc:creator>
  <cp:lastModifiedBy>William Boissonneault</cp:lastModifiedBy>
  <dcterms:created xsi:type="dcterms:W3CDTF">2025-11-27T05:54:09Z</dcterms:created>
  <dcterms:modified xsi:type="dcterms:W3CDTF">2025-11-27T06:27:49Z</dcterms:modified>
</cp:coreProperties>
</file>